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wel Almonte Jorge\Desktop\QA-testing-portafoluio\"/>
    </mc:Choice>
  </mc:AlternateContent>
  <xr:revisionPtr revIDLastSave="0" documentId="13_ncr:1_{357B68E6-5613-4C80-B467-94B2E0DA27A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Bug Reports" sheetId="2" r:id="rId2"/>
    <sheet name="Test Summary" sheetId="3" r:id="rId3"/>
  </sheets>
  <definedNames>
    <definedName name="_xlnm._FilterDatabase" localSheetId="1" hidden="1">'Bug Reports'!$A$3:$N$23</definedName>
    <definedName name="_xlnm._FilterDatabase" localSheetId="0" hidden="1">'Test Cases'!$A$3:$M$103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</calcChain>
</file>

<file path=xl/sharedStrings.xml><?xml version="1.0" encoding="utf-8"?>
<sst xmlns="http://schemas.openxmlformats.org/spreadsheetml/2006/main" count="90" uniqueCount="71">
  <si>
    <t>PROYECTO 1 — PRUEBAS MANUALES SAUCEDEMO</t>
  </si>
  <si>
    <t>Test Case ID</t>
  </si>
  <si>
    <t>Módulo</t>
  </si>
  <si>
    <t>Nombre del caso</t>
  </si>
  <si>
    <t>Tipo de prueba</t>
  </si>
  <si>
    <t>Precondiciones</t>
  </si>
  <si>
    <t>Pasos de prueba</t>
  </si>
  <si>
    <t>Datos de prueba</t>
  </si>
  <si>
    <t>Resultado esperado</t>
  </si>
  <si>
    <t>Resultado obtenido</t>
  </si>
  <si>
    <t>Estado</t>
  </si>
  <si>
    <t>Prioridad</t>
  </si>
  <si>
    <t>Evidencia / enlace</t>
  </si>
  <si>
    <t>Observaciones</t>
  </si>
  <si>
    <t>TC-LOGIN-001</t>
  </si>
  <si>
    <t>Login</t>
  </si>
  <si>
    <t>Inicio de sesión exitoso</t>
  </si>
  <si>
    <t>Positiva</t>
  </si>
  <si>
    <t>Aplicación disponible; usuario de demostración habilitado.</t>
  </si>
  <si>
    <t>1. Abrir SauceDemo.
2. Escribir el usuario.
3. Escribir la contraseña.
4. Pulsar Login.</t>
  </si>
  <si>
    <t>Usuario: standard_user
Contraseña: secret_sauce</t>
  </si>
  <si>
    <t>El sistema permite el acceso y muestra el catálogo de productos.</t>
  </si>
  <si>
    <t>Alta</t>
  </si>
  <si>
    <t>TC-LOGIN-002</t>
  </si>
  <si>
    <t>Contraseña incorrecta</t>
  </si>
  <si>
    <t>Negativa</t>
  </si>
  <si>
    <t>Aplicación disponible.</t>
  </si>
  <si>
    <t>1. Abrir SauceDemo.
2. Escribir standard_user.
3. Escribir una contraseña incorrecta.
4. Pulsar Login.</t>
  </si>
  <si>
    <t>Usuario: standard_user
Contraseña: clave_incorrecta123</t>
  </si>
  <si>
    <t>El sistema rechaza el acceso y muestra un mensaje de error.</t>
  </si>
  <si>
    <t>TC-LOGIN-003</t>
  </si>
  <si>
    <t>Campos vacíos</t>
  </si>
  <si>
    <t>1. Abrir SauceDemo.
2. Dejar usuario y contraseña vacíos.
3. Pulsar Login.</t>
  </si>
  <si>
    <t>Usuario: vacío
Contraseña: vacío</t>
  </si>
  <si>
    <t>El sistema no permite el acceso y muestra una validación indicando que falta el usuario.</t>
  </si>
  <si>
    <t>TC-LOGIN-004</t>
  </si>
  <si>
    <t>Usuario bloqueado</t>
  </si>
  <si>
    <t>Aplicación disponible; usuario de demostración bloqueado disponible.</t>
  </si>
  <si>
    <t>1. Abrir SauceDemo.
2. Escribir locked_out_user.
3. Escribir la contraseña de demostración.
4. Pulsar Login.</t>
  </si>
  <si>
    <t>Usuario: locked_out_user
Contraseña: secret_sauce</t>
  </si>
  <si>
    <t>El sistema deniega el acceso e informa que la cuenta está bloqueada.</t>
  </si>
  <si>
    <t>Media</t>
  </si>
  <si>
    <t>REGISTRO DE BUGS</t>
  </si>
  <si>
    <t>Bug ID</t>
  </si>
  <si>
    <t>Título del bug</t>
  </si>
  <si>
    <t>Módulo / área</t>
  </si>
  <si>
    <t>Descripción</t>
  </si>
  <si>
    <t>Pasos para reproducir</t>
  </si>
  <si>
    <t>Resultado actual</t>
  </si>
  <si>
    <t>Severidad</t>
  </si>
  <si>
    <t>Frecuencia</t>
  </si>
  <si>
    <t>Entorno</t>
  </si>
  <si>
    <t>RESUMEN DE EJECUCIÓN — SAUCEDEMO</t>
  </si>
  <si>
    <t>Indicador</t>
  </si>
  <si>
    <t>Cantidad</t>
  </si>
  <si>
    <t>Total de casos</t>
  </si>
  <si>
    <t>Casos de prueba registrados</t>
  </si>
  <si>
    <t>Aprobados (Passed)</t>
  </si>
  <si>
    <t>Cumplen el resultado esperado</t>
  </si>
  <si>
    <t>Fallidos (Failed)</t>
  </si>
  <si>
    <t>El resultado real no coincide con el esperado</t>
  </si>
  <si>
    <t>Pendientes (Not Run)</t>
  </si>
  <si>
    <t>Todavía no ejecutados</t>
  </si>
  <si>
    <t>Bloqueados (Blocked)</t>
  </si>
  <si>
    <t>No se pudieron ejecutar</t>
  </si>
  <si>
    <t>Exitoso, resultado obtenido fue el esperado.</t>
  </si>
  <si>
    <t>Passed</t>
  </si>
  <si>
    <t xml:space="preserve">La prueba se ejecuto correctamente, el sistema permitio iniciar sesion con las credenciales validad y mostro catalogo de productos, adjunte capt. Como evidencias. </t>
  </si>
  <si>
    <t>La prueba se ejecuto correctamente, el sistemano permitio uniciar sesion con los credenciales incorrectos.</t>
  </si>
  <si>
    <t>La prueba se ejecuto corectamente, el sistema no permitio el acceso e indico la falta de crenciales.</t>
  </si>
  <si>
    <t xml:space="preserve">La prueba se ejecuto correctamente, el sistema indico el usuablo como bloqueado, como se esperaba.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</si>
</sst>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0" borderId="0" xfId="0"/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1524000</xdr:colOff>
      <xdr:row>3</xdr:row>
      <xdr:rowOff>1523375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74D69-7F8A-45D8-AB44-CAE6A199C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393" y="952500"/>
          <a:ext cx="1524000" cy="152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1736419</xdr:colOff>
      <xdr:row>2</xdr:row>
      <xdr:rowOff>176894</xdr:rowOff>
    </xdr:from>
    <xdr:to>
      <xdr:col>11</xdr:col>
      <xdr:colOff>3265714</xdr:colOff>
      <xdr:row>3</xdr:row>
      <xdr:rowOff>1537608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0185B8-3D4D-47B9-A11A-49D2BA28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153812" y="938894"/>
          <a:ext cx="1529295" cy="1551214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4</xdr:row>
      <xdr:rowOff>0</xdr:rowOff>
    </xdr:from>
    <xdr:to>
      <xdr:col>11</xdr:col>
      <xdr:colOff>3118773</xdr:colOff>
      <xdr:row>4</xdr:row>
      <xdr:rowOff>1864179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C13041-C173-47FD-A5BE-4BE7A8FEF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17394" y="2585357"/>
          <a:ext cx="3118772" cy="186417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3325091</xdr:colOff>
      <xdr:row>5</xdr:row>
      <xdr:rowOff>1940117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4FE130-C9AD-4FEE-A360-47AC0F95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13682" y="4468091"/>
          <a:ext cx="3325091" cy="1940117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6</xdr:row>
      <xdr:rowOff>0</xdr:rowOff>
    </xdr:from>
    <xdr:to>
      <xdr:col>11</xdr:col>
      <xdr:colOff>3667125</xdr:colOff>
      <xdr:row>7</xdr:row>
      <xdr:rowOff>31606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B3AE4F-2BBF-4FB4-8CF3-77ED1B8EE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83376" y="6453188"/>
          <a:ext cx="3667124" cy="1150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zoomScale="70" zoomScaleNormal="70" workbookViewId="0">
      <pane ySplit="4" topLeftCell="A5" activePane="bottomLeft" state="frozen"/>
      <selection pane="bottomLeft" activeCell="G12" sqref="G12"/>
    </sheetView>
  </sheetViews>
  <sheetFormatPr defaultRowHeight="15" x14ac:dyDescent="0.25"/>
  <cols>
    <col min="1" max="1" width="18" customWidth="1"/>
    <col min="2" max="2" width="14" customWidth="1"/>
    <col min="3" max="3" width="29" customWidth="1"/>
    <col min="4" max="4" width="17" customWidth="1"/>
    <col min="5" max="5" width="34" customWidth="1"/>
    <col min="6" max="6" width="40" customWidth="1"/>
    <col min="7" max="7" width="30" customWidth="1"/>
    <col min="8" max="8" width="42" customWidth="1"/>
    <col min="9" max="9" width="38" customWidth="1"/>
    <col min="10" max="10" width="15" customWidth="1"/>
    <col min="11" max="11" width="14" customWidth="1"/>
    <col min="12" max="12" width="55.7109375" customWidth="1"/>
    <col min="13" max="13" width="28" customWidth="1"/>
  </cols>
  <sheetData>
    <row r="1" spans="1:13" ht="30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0" customHeight="1" x14ac:dyDescent="0.25"/>
    <row r="3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128.2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65</v>
      </c>
      <c r="J4" s="2" t="s">
        <v>66</v>
      </c>
      <c r="K4" s="2" t="s">
        <v>22</v>
      </c>
      <c r="L4" s="9"/>
      <c r="M4" s="2" t="s">
        <v>67</v>
      </c>
    </row>
    <row r="5" spans="1:13" ht="148.5" customHeight="1" x14ac:dyDescent="0.25">
      <c r="A5" s="3" t="s">
        <v>23</v>
      </c>
      <c r="B5" s="3" t="s">
        <v>15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65</v>
      </c>
      <c r="J5" s="3" t="s">
        <v>66</v>
      </c>
      <c r="K5" s="3" t="s">
        <v>22</v>
      </c>
      <c r="L5" s="3"/>
      <c r="M5" s="3" t="s">
        <v>68</v>
      </c>
    </row>
    <row r="6" spans="1:13" ht="158.25" customHeight="1" x14ac:dyDescent="0.25">
      <c r="A6" s="2" t="s">
        <v>30</v>
      </c>
      <c r="B6" s="2" t="s">
        <v>15</v>
      </c>
      <c r="C6" s="2" t="s">
        <v>31</v>
      </c>
      <c r="D6" s="2" t="s">
        <v>25</v>
      </c>
      <c r="E6" s="2" t="s">
        <v>26</v>
      </c>
      <c r="F6" s="2" t="s">
        <v>32</v>
      </c>
      <c r="G6" s="2" t="s">
        <v>33</v>
      </c>
      <c r="H6" s="2" t="s">
        <v>34</v>
      </c>
      <c r="I6" s="2" t="s">
        <v>65</v>
      </c>
      <c r="J6" s="2" t="s">
        <v>66</v>
      </c>
      <c r="K6" s="2" t="s">
        <v>22</v>
      </c>
      <c r="L6" s="2"/>
      <c r="M6" s="2" t="s">
        <v>69</v>
      </c>
    </row>
    <row r="7" spans="1:13" ht="87.95" customHeight="1" x14ac:dyDescent="0.25">
      <c r="A7" s="3" t="s">
        <v>35</v>
      </c>
      <c r="B7" s="3" t="s">
        <v>15</v>
      </c>
      <c r="C7" s="3" t="s">
        <v>36</v>
      </c>
      <c r="D7" s="3" t="s">
        <v>25</v>
      </c>
      <c r="E7" s="3" t="s">
        <v>37</v>
      </c>
      <c r="F7" s="3" t="s">
        <v>38</v>
      </c>
      <c r="G7" s="3" t="s">
        <v>39</v>
      </c>
      <c r="H7" s="3" t="s">
        <v>40</v>
      </c>
      <c r="I7" s="3"/>
      <c r="J7" s="3" t="s">
        <v>66</v>
      </c>
      <c r="K7" s="3" t="s">
        <v>41</v>
      </c>
      <c r="L7" s="3"/>
      <c r="M7" s="3" t="s">
        <v>70</v>
      </c>
    </row>
    <row r="8" spans="1:13" ht="87.95" customHeight="1" x14ac:dyDescent="0.25"/>
  </sheetData>
  <autoFilter ref="A3:M103" xr:uid="{00000000-0009-0000-0000-000000000000}"/>
  <mergeCells count="1">
    <mergeCell ref="A1:M1"/>
  </mergeCells>
  <conditionalFormatting sqref="J4:J103">
    <cfRule type="expression" dxfId="2" priority="1">
      <formula>J4="Passed"</formula>
    </cfRule>
    <cfRule type="expression" dxfId="1" priority="2">
      <formula>J4="Failed"</formula>
    </cfRule>
    <cfRule type="expression" dxfId="0" priority="3">
      <formula>J4="Not Run"</formula>
    </cfRule>
  </conditionalFormatting>
  <dataValidations count="3">
    <dataValidation type="list" sqref="J4:J103" xr:uid="{00000000-0002-0000-0000-000000000000}">
      <formula1>"Not Run,Passed,Failed,Blocked"</formula1>
    </dataValidation>
    <dataValidation type="list" allowBlank="1" sqref="K4:K103" xr:uid="{00000000-0002-0000-0000-000001000000}">
      <formula1>"Alta,Media,Baja"</formula1>
    </dataValidation>
    <dataValidation type="list" allowBlank="1" sqref="D4:D103" xr:uid="{00000000-0002-0000-0000-000002000000}">
      <formula1>"Positiva,Negativa,Regresión,Funcional"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showGridLines="0"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14" customWidth="1"/>
    <col min="2" max="2" width="32" customWidth="1"/>
    <col min="3" max="3" width="20" customWidth="1"/>
    <col min="4" max="4" width="38" customWidth="1"/>
    <col min="5" max="5" width="30" customWidth="1"/>
    <col min="6" max="6" width="42" customWidth="1"/>
    <col min="7" max="8" width="36" customWidth="1"/>
    <col min="9" max="9" width="16" customWidth="1"/>
    <col min="10" max="10" width="14" customWidth="1"/>
    <col min="11" max="11" width="16" customWidth="1"/>
    <col min="12" max="12" width="24" customWidth="1"/>
    <col min="13" max="13" width="16" customWidth="1"/>
    <col min="14" max="14" width="28" customWidth="1"/>
  </cols>
  <sheetData>
    <row r="1" spans="1:14" ht="21" x14ac:dyDescent="0.35">
      <c r="A1" s="7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5</v>
      </c>
      <c r="F3" s="4" t="s">
        <v>47</v>
      </c>
      <c r="G3" s="4" t="s">
        <v>8</v>
      </c>
      <c r="H3" s="4" t="s">
        <v>48</v>
      </c>
      <c r="I3" s="4" t="s">
        <v>49</v>
      </c>
      <c r="J3" s="4" t="s">
        <v>11</v>
      </c>
      <c r="K3" s="4" t="s">
        <v>50</v>
      </c>
      <c r="L3" s="4" t="s">
        <v>51</v>
      </c>
      <c r="M3" s="4" t="s">
        <v>10</v>
      </c>
      <c r="N3" s="4" t="s">
        <v>12</v>
      </c>
    </row>
    <row r="4" spans="1:14" ht="50.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50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50.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50.1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50.1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50.1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50.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50.1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50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50.1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50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50.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50.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50.1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50.1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50.1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50.1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50.1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50.1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50.1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autoFilter ref="A3:N23" xr:uid="{00000000-0009-0000-0000-000001000000}"/>
  <mergeCells count="1">
    <mergeCell ref="A1:N1"/>
  </mergeCells>
  <dataValidations count="4">
    <dataValidation type="list" allowBlank="1" sqref="I4:I99" xr:uid="{00000000-0002-0000-0100-000000000000}">
      <formula1>"Crítica,Alta,Media,Baja"</formula1>
    </dataValidation>
    <dataValidation type="list" allowBlank="1" sqref="J4:J99" xr:uid="{00000000-0002-0000-0100-000001000000}">
      <formula1>"Alta,Media,Baja"</formula1>
    </dataValidation>
    <dataValidation type="list" allowBlank="1" sqref="K4:K99" xr:uid="{00000000-0002-0000-0100-000002000000}">
      <formula1>"Siempre,Intermitente,Una vez"</formula1>
    </dataValidation>
    <dataValidation type="list" allowBlank="1" sqref="M4:M99" xr:uid="{00000000-0002-0000-0100-000003000000}">
      <formula1>"Nuevo,Abierto,En progreso,Resuelto,Cerrado"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tabSelected="1" workbookViewId="0">
      <selection activeCell="C34" sqref="C34"/>
    </sheetView>
  </sheetViews>
  <sheetFormatPr defaultRowHeight="15" x14ac:dyDescent="0.25"/>
  <cols>
    <col min="1" max="1" width="28" customWidth="1"/>
    <col min="2" max="2" width="16" customWidth="1"/>
    <col min="3" max="3" width="50" customWidth="1"/>
  </cols>
  <sheetData>
    <row r="1" spans="1:3" ht="21" x14ac:dyDescent="0.35">
      <c r="A1" s="7" t="s">
        <v>52</v>
      </c>
      <c r="B1" s="8"/>
      <c r="C1" s="8"/>
    </row>
    <row r="3" spans="1:3" x14ac:dyDescent="0.25">
      <c r="A3" s="5" t="s">
        <v>53</v>
      </c>
      <c r="B3" s="5" t="s">
        <v>54</v>
      </c>
      <c r="C3" s="5" t="s">
        <v>46</v>
      </c>
    </row>
    <row r="4" spans="1:3" x14ac:dyDescent="0.25">
      <c r="A4" s="6" t="s">
        <v>55</v>
      </c>
      <c r="B4" s="6">
        <f>COUNTA('Test Cases'!A4:A103)</f>
        <v>4</v>
      </c>
      <c r="C4" s="6" t="s">
        <v>56</v>
      </c>
    </row>
    <row r="5" spans="1:3" x14ac:dyDescent="0.25">
      <c r="A5" s="6" t="s">
        <v>57</v>
      </c>
      <c r="B5" s="6">
        <f>COUNTIF('Test Cases'!J4:J103,"Passed")</f>
        <v>4</v>
      </c>
      <c r="C5" s="6" t="s">
        <v>58</v>
      </c>
    </row>
    <row r="6" spans="1:3" x14ac:dyDescent="0.25">
      <c r="A6" s="6" t="s">
        <v>59</v>
      </c>
      <c r="B6" s="6">
        <f>COUNTIF('Test Cases'!J4:J103,"Failed")</f>
        <v>0</v>
      </c>
      <c r="C6" s="6" t="s">
        <v>60</v>
      </c>
    </row>
    <row r="7" spans="1:3" x14ac:dyDescent="0.25">
      <c r="A7" s="6" t="s">
        <v>61</v>
      </c>
      <c r="B7" s="6">
        <f>COUNTIF('Test Cases'!J4:J103,"Not Run")</f>
        <v>0</v>
      </c>
      <c r="C7" s="6" t="s">
        <v>62</v>
      </c>
    </row>
    <row r="8" spans="1:3" x14ac:dyDescent="0.25">
      <c r="A8" s="6" t="s">
        <v>63</v>
      </c>
      <c r="B8" s="6">
        <f>COUNTIF('Test Cases'!J4:J103,"Blocked")</f>
        <v>0</v>
      </c>
      <c r="C8" s="6" t="s">
        <v>64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QA SauceDemo</dc:title>
  <dc:subject>Casos de prueba, bugs y resumen de ejecución</dc:subject>
  <dc:creator>OpenAI</dc:creator>
  <cp:lastModifiedBy>ALMONTE JORGE, DAWEL</cp:lastModifiedBy>
  <dcterms:created xsi:type="dcterms:W3CDTF">2026-10-12T19:52:53Z</dcterms:created>
  <dcterms:modified xsi:type="dcterms:W3CDTF">2026-10-12T20:48:27Z</dcterms:modified>
</cp:coreProperties>
</file>